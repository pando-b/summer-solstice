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ubric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78" customWidth="1" min="1" max="1"/>
    <col width="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Summer Solstice — Opportunity Scorecard (v3.1, mirror of rubric.json — rubric.json wins on any mismatch)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Clear the kill gates first (any failed gate = auto-reject). Then score 1-5. Blue cells are inputs. Verdict is automatic. Wedge &lt;= 3 -&gt; S5 switch test MANDATORY (auto-flagged).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KILL GATES  —  enter Y if the gate is FAILED (auto-reject)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Gate</t>
        </is>
      </c>
      <c r="B5" s="2" t="n"/>
      <c r="C5" s="3" t="inlineStr">
        <is>
          <t>Candidate A</t>
        </is>
      </c>
      <c r="D5" s="3" t="inlineStr">
        <is>
          <t>Candidate B</t>
        </is>
      </c>
      <c r="E5" s="3" t="inlineStr">
        <is>
          <t>Candidate C</t>
        </is>
      </c>
      <c r="F5" s="3" t="inlineStr">
        <is>
          <t>Candidate D</t>
        </is>
      </c>
      <c r="G5" s="3" t="inlineStr">
        <is>
          <t>Candidate E</t>
        </is>
      </c>
    </row>
    <row r="6">
      <c r="A6" s="2" t="inlineStr">
        <is>
          <t>No free ($0) path to buyers</t>
        </is>
      </c>
      <c r="B6" s="2" t="n"/>
      <c r="C6" s="4" t="n"/>
      <c r="D6" s="4" t="n"/>
      <c r="E6" s="4" t="n"/>
      <c r="F6" s="4" t="n"/>
      <c r="G6" s="4" t="n"/>
    </row>
    <row r="7">
      <c r="A7" s="2" t="inlineStr">
        <is>
          <t>Can't ship a usable v1 within one build week</t>
        </is>
      </c>
      <c r="B7" s="2" t="n"/>
      <c r="C7" s="4" t="n"/>
      <c r="D7" s="4" t="n"/>
      <c r="E7" s="4" t="n"/>
      <c r="F7" s="4" t="n"/>
      <c r="G7" s="4" t="n"/>
    </row>
    <row r="8">
      <c r="A8" s="2" t="inlineStr">
        <is>
          <t>Needs licensing/regulatory approval we can't obtain (or unacceptable legal risk)</t>
        </is>
      </c>
      <c r="B8" s="2" t="n"/>
      <c r="C8" s="4" t="n"/>
      <c r="D8" s="4" t="n"/>
      <c r="E8" s="4" t="n"/>
      <c r="F8" s="4" t="n"/>
      <c r="G8" s="4" t="n"/>
    </row>
    <row r="9">
      <c r="A9" s="2" t="inlineStr">
        <is>
          <t>Realistic build+launch cost exceeds the pooled &lt;$2k budget</t>
        </is>
      </c>
      <c r="B9" s="2" t="n"/>
      <c r="C9" s="4" t="n"/>
      <c r="D9" s="4" t="n"/>
      <c r="E9" s="4" t="n"/>
      <c r="F9" s="4" t="n"/>
      <c r="G9" s="4" t="n"/>
    </row>
    <row r="10">
      <c r="A10" s="2" t="inlineStr">
        <is>
          <t>Undifferentiated AI wrapper — no workflow ownership, data moat, or switching cost (acquirers treat these as invisible)</t>
        </is>
      </c>
      <c r="B10" s="2" t="n"/>
      <c r="C10" s="4" t="n"/>
      <c r="D10" s="4" t="n"/>
      <c r="E10" s="4" t="n"/>
      <c r="F10" s="4" t="n"/>
      <c r="G10" s="4" t="n"/>
    </row>
    <row r="11">
      <c r="A11" s="2" t="inlineStr">
        <is>
          <t>No viable payment mechanism — the chosen channel/product has no named way to charge money (e.g., agent skill stores have no payment rail; a skill-store-distributed candidate needs a named monetization mechanism to pass)</t>
        </is>
      </c>
      <c r="B11" s="2" t="n"/>
      <c r="C11" s="4" t="n"/>
      <c r="D11" s="4" t="n"/>
      <c r="E11" s="4" t="n"/>
      <c r="F11" s="4" t="n"/>
      <c r="G11" s="4" t="n"/>
    </row>
    <row r="12">
      <c r="A12" s="2" t="inlineStr">
        <is>
          <t>Structurally cannot clear a &gt;=50% gross margin at realistic pricing — COGS-heavy inference relative to the price the market bears (every unit of value = frontier tokens), pass-through-dominated economics, or a free-incumbent price ceiling. Judged from the pro-forma at the gate's fidelity level (see economics_ladder note); 50% is the floor, ~75-80% GM is the design target buyers actually price (Flippa GM&gt;75%)</t>
        </is>
      </c>
      <c r="B12" s="2" t="n"/>
      <c r="C12" s="4" t="n"/>
      <c r="D12" s="4" t="n"/>
      <c r="E12" s="4" t="n"/>
      <c r="F12" s="4" t="n"/>
      <c r="G12" s="4" t="n"/>
    </row>
    <row r="13">
      <c r="A13" s="3" t="inlineStr">
        <is>
          <t>Gates failed (count)</t>
        </is>
      </c>
      <c r="B13" s="2" t="n"/>
      <c r="C13" s="2">
        <f>COUNTIF(C6:C12,"Y")</f>
        <v/>
      </c>
      <c r="D13" s="2">
        <f>COUNTIF(D6:D12,"Y")</f>
        <v/>
      </c>
      <c r="E13" s="2">
        <f>COUNTIF(E6:E12,"Y")</f>
        <v/>
      </c>
      <c r="F13" s="2">
        <f>COUNTIF(F6:F12,"Y")</f>
        <v/>
      </c>
      <c r="G13" s="2">
        <f>COUNTIF(G6:G12,"Y")</f>
        <v/>
      </c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WEIGHTED SCORING  —  score each criterion 1 (weak) to 5 (strong)</t>
        </is>
      </c>
      <c r="B15" s="2" t="n"/>
      <c r="C15" s="2" t="n"/>
      <c r="D15" s="2" t="n"/>
      <c r="E15" s="2" t="n"/>
      <c r="F15" s="2" t="n"/>
      <c r="G15" s="2" t="n"/>
    </row>
    <row r="16">
      <c r="A16" s="3" t="inlineStr">
        <is>
          <t>Criterion</t>
        </is>
      </c>
      <c r="B16" s="3" t="inlineStr">
        <is>
          <t>Weight</t>
        </is>
      </c>
      <c r="C16" s="3" t="inlineStr">
        <is>
          <t>Candidate A</t>
        </is>
      </c>
      <c r="D16" s="3" t="inlineStr">
        <is>
          <t>Candidate B</t>
        </is>
      </c>
      <c r="E16" s="3" t="inlineStr">
        <is>
          <t>Candidate C</t>
        </is>
      </c>
      <c r="F16" s="3" t="inlineStr">
        <is>
          <t>Candidate D</t>
        </is>
      </c>
      <c r="G16" s="3" t="inlineStr">
        <is>
          <t>Candidate E</t>
        </is>
      </c>
    </row>
    <row r="17">
      <c r="A17" s="2" t="inlineStr">
        <is>
          <t>Pain &amp; Urgency</t>
        </is>
      </c>
      <c r="B17" s="5" t="n">
        <v>16</v>
      </c>
      <c r="C17" s="4" t="n"/>
      <c r="D17" s="4" t="n"/>
      <c r="E17" s="4" t="n"/>
      <c r="F17" s="4" t="n"/>
      <c r="G17" s="4" t="n"/>
    </row>
    <row r="18">
      <c r="A18" s="2" t="inlineStr">
        <is>
          <t>Willingness to Pay</t>
        </is>
      </c>
      <c r="B18" s="5" t="n">
        <v>16</v>
      </c>
      <c r="C18" s="4" t="n"/>
      <c r="D18" s="4" t="n"/>
      <c r="E18" s="4" t="n"/>
      <c r="F18" s="4" t="n"/>
      <c r="G18" s="4" t="n"/>
    </row>
    <row r="19">
      <c r="A19" s="2" t="inlineStr">
        <is>
          <t>Free Reachability</t>
        </is>
      </c>
      <c r="B19" s="5" t="n">
        <v>12</v>
      </c>
      <c r="C19" s="4" t="n"/>
      <c r="D19" s="4" t="n"/>
      <c r="E19" s="4" t="n"/>
      <c r="F19" s="4" t="n"/>
      <c r="G19" s="4" t="n"/>
    </row>
    <row r="20">
      <c r="A20" s="2" t="inlineStr">
        <is>
          <t>Time-to-First-Dollar</t>
        </is>
      </c>
      <c r="B20" s="5" t="n">
        <v>8</v>
      </c>
      <c r="C20" s="4" t="n"/>
      <c r="D20" s="4" t="n"/>
      <c r="E20" s="4" t="n"/>
      <c r="F20" s="4" t="n"/>
      <c r="G20" s="4" t="n"/>
    </row>
    <row r="21">
      <c r="A21" s="2" t="inlineStr">
        <is>
          <t>Build Feasibility</t>
        </is>
      </c>
      <c r="B21" s="5" t="n">
        <v>10</v>
      </c>
      <c r="C21" s="4" t="n"/>
      <c r="D21" s="4" t="n"/>
      <c r="E21" s="4" t="n"/>
      <c r="F21" s="4" t="n"/>
      <c r="G21" s="4" t="n"/>
    </row>
    <row r="22">
      <c r="A22" s="2" t="inlineStr">
        <is>
          <t>Natural Retention</t>
        </is>
      </c>
      <c r="B22" s="5" t="n">
        <v>10</v>
      </c>
      <c r="C22" s="4" t="n"/>
      <c r="D22" s="4" t="n"/>
      <c r="E22" s="4" t="n"/>
      <c r="F22" s="4" t="n"/>
      <c r="G22" s="4" t="n"/>
    </row>
    <row r="23">
      <c r="A23" s="2" t="inlineStr">
        <is>
          <t>Market Adequacy</t>
        </is>
      </c>
      <c r="B23" s="5" t="n">
        <v>4</v>
      </c>
      <c r="C23" s="4" t="n"/>
      <c r="D23" s="4" t="n"/>
      <c r="E23" s="4" t="n"/>
      <c r="F23" s="4" t="n"/>
      <c r="G23" s="4" t="n"/>
    </row>
    <row r="24">
      <c r="A24" s="2" t="inlineStr">
        <is>
          <t>Acquirability</t>
        </is>
      </c>
      <c r="B24" s="5" t="n">
        <v>14</v>
      </c>
      <c r="C24" s="4" t="n"/>
      <c r="D24" s="4" t="n"/>
      <c r="E24" s="4" t="n"/>
      <c r="F24" s="4" t="n"/>
      <c r="G24" s="4" t="n"/>
    </row>
    <row r="25">
      <c r="A25" s="2" t="inlineStr">
        <is>
          <t>Competitive Wedge</t>
        </is>
      </c>
      <c r="B25" s="5" t="n">
        <v>10</v>
      </c>
      <c r="C25" s="4" t="n"/>
      <c r="D25" s="4" t="n"/>
      <c r="E25" s="4" t="n"/>
      <c r="F25" s="4" t="n"/>
      <c r="G25" s="4" t="n"/>
    </row>
    <row r="26">
      <c r="A26" s="3" t="inlineStr">
        <is>
          <t>Total weight</t>
        </is>
      </c>
      <c r="B26" s="2">
        <f>SUM(B17:B25)</f>
        <v/>
      </c>
      <c r="C26" s="2" t="n"/>
      <c r="D26" s="2" t="n"/>
      <c r="E26" s="2" t="n"/>
      <c r="F26" s="2" t="n"/>
      <c r="G26" s="2" t="n"/>
    </row>
    <row r="27">
      <c r="A27" s="3" t="inlineStr">
        <is>
          <t>WEIGHTED SCORE (0-100)</t>
        </is>
      </c>
      <c r="B27" s="2" t="n"/>
      <c r="C27" s="2">
        <f>SUMPRODUCT($B$17:$B$25,C17:C25)/5</f>
        <v/>
      </c>
      <c r="D27" s="2">
        <f>SUMPRODUCT($B$17:$B$25,D17:D25)/5</f>
        <v/>
      </c>
      <c r="E27" s="2">
        <f>SUMPRODUCT($B$17:$B$25,E17:E25)/5</f>
        <v/>
      </c>
      <c r="F27" s="2">
        <f>SUMPRODUCT($B$17:$B$25,F17:F25)/5</f>
        <v/>
      </c>
      <c r="G27" s="2">
        <f>SUMPRODUCT($B$17:$B$25,G17:G25)/5</f>
        <v/>
      </c>
    </row>
    <row r="28">
      <c r="A28" s="3" t="inlineStr">
        <is>
          <t>VERDICT</t>
        </is>
      </c>
      <c r="B28" s="2" t="n"/>
      <c r="C28" s="2">
        <f>IF(SUM(C17:C25)=0,"—",IF(C13&gt;0,"REJECT (gate)",IF(C27&gt;=75,"STRONG → S5",IF(C27&gt;=60,"CONDITIONAL","KILL"))))</f>
        <v/>
      </c>
      <c r="D28" s="2">
        <f>IF(SUM(D17:D25)=0,"—",IF(D13&gt;0,"REJECT (gate)",IF(D27&gt;=75,"STRONG → S5",IF(D27&gt;=60,"CONDITIONAL","KILL"))))</f>
        <v/>
      </c>
      <c r="E28" s="2">
        <f>IF(SUM(E17:E25)=0,"—",IF(E13&gt;0,"REJECT (gate)",IF(E27&gt;=75,"STRONG → S5",IF(E27&gt;=60,"CONDITIONAL","KILL"))))</f>
        <v/>
      </c>
      <c r="F28" s="2">
        <f>IF(SUM(F17:F25)=0,"—",IF(F13&gt;0,"REJECT (gate)",IF(F27&gt;=75,"STRONG → S5",IF(F27&gt;=60,"CONDITIONAL","KILL"))))</f>
        <v/>
      </c>
      <c r="G28" s="2">
        <f>IF(SUM(G17:G25)=0,"—",IF(G13&gt;0,"REJECT (gate)",IF(G27&gt;=75,"STRONG → S5",IF(G27&gt;=60,"CONDITIONAL","KILL"))))</f>
        <v/>
      </c>
    </row>
    <row r="29">
      <c r="A29" s="3" t="inlineStr">
        <is>
          <t>SWITCH TEST REQUIRED? (Wedge &lt;= 3)</t>
        </is>
      </c>
      <c r="B29" s="2" t="n"/>
      <c r="C29" s="2">
        <f>IF(SUM(C17:C25)=0,"—",IF(C25&lt;=3,"YES — S5 switch test mandatory","No"))</f>
        <v/>
      </c>
      <c r="D29" s="2">
        <f>IF(SUM(D17:D25)=0,"—",IF(D25&lt;=3,"YES — S5 switch test mandatory","No"))</f>
        <v/>
      </c>
      <c r="E29" s="2">
        <f>IF(SUM(E17:E25)=0,"—",IF(E25&lt;=3,"YES — S5 switch test mandatory","No"))</f>
        <v/>
      </c>
      <c r="F29" s="2">
        <f>IF(SUM(F17:F25)=0,"—",IF(F25&lt;=3,"YES — S5 switch test mandatory","No"))</f>
        <v/>
      </c>
      <c r="G29" s="2">
        <f>IF(SUM(G17:G25)=0,"—",IF(G25&lt;=3,"YES — S5 switch test mandatory","No"))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6" customWidth="1" min="1" max="1"/>
    <col width="120" customWidth="1" min="2" max="2"/>
  </cols>
  <sheetData>
    <row r="1">
      <c r="A1" s="6" t="inlineStr">
        <is>
          <t>Scoring guide — generated from rubric.json v3.1. The JSON is canonical; regenerate this file when it changes.</t>
        </is>
      </c>
      <c r="B1" s="2" t="n"/>
    </row>
    <row r="2">
      <c r="A2" s="2" t="n"/>
      <c r="B2" s="2" t="n"/>
    </row>
    <row r="3">
      <c r="A3" s="2" t="inlineStr">
        <is>
          <t>Pain &amp; Urgency (wt 16)</t>
        </is>
      </c>
      <c r="B3" s="2" t="inlineStr">
        <is>
          <t>5 = acute, 'now' problem people actively complain about (high engagement)  |  1 = mild annoyance, no urgency</t>
        </is>
      </c>
    </row>
    <row r="4">
      <c r="A4" s="2" t="inlineStr">
        <is>
          <t>Willingness to Pay (wt 16)</t>
        </is>
      </c>
      <c r="B4" s="2" t="inlineStr">
        <is>
          <t>5 = buyers already pay for inferior tools/workarounds  |  1 = no evidence of spend</t>
        </is>
      </c>
    </row>
    <row r="5">
      <c r="A5" s="2" t="inlineStr">
        <is>
          <t>Free Reachability (wt 12)</t>
        </is>
      </c>
      <c r="B5" s="2" t="inlineStr">
        <is>
          <t>5 = a precise $0 channel reaches buyers at scale, with a fast channel clock: low review/moderation latency, a working payment rail, and short time-to-first-100-qualified-users  |  1 = no precise channel, or a channel with weeks of review latency / no way to charge</t>
        </is>
      </c>
    </row>
    <row r="6">
      <c r="A6" s="2" t="inlineStr">
        <is>
          <t>Time-to-First-Dollar (wt 8)</t>
        </is>
      </c>
      <c r="B6" s="2" t="inlineStr">
        <is>
          <t>5 = can charge within days of channel-live  |  1 = long free period unavoidable</t>
        </is>
      </c>
    </row>
    <row r="7">
      <c r="A7" s="2" t="inlineStr">
        <is>
          <t>Build Feasibility (wt 10)</t>
        </is>
      </c>
      <c r="B7" s="2" t="inlineStr">
        <is>
          <t>5 = trivially agent-native (agent-parity architecture is the default build form), v1 well within a build week  |  1 = hard to build or agent-native architecture awkward for this problem</t>
        </is>
      </c>
    </row>
    <row r="8">
      <c r="A8" s="2" t="inlineStr">
        <is>
          <t>Natural Retention (wt 10)</t>
        </is>
      </c>
      <c r="B8" s="2" t="inlineStr">
        <is>
          <t>5 = recurring job-to-be-done (weekly/monthly), product accumulates data or workflow lock-in that compounds — the category retains by nature  |  1 = one-shot job (migration, generator); user leaves when done</t>
        </is>
      </c>
    </row>
    <row r="9">
      <c r="A9" s="2" t="inlineStr">
        <is>
          <t>Market Adequacy (wt 4)</t>
        </is>
      </c>
      <c r="B9" s="2" t="inlineStr">
        <is>
          <t>5 = enough buyers to reach ~$250k+ ARR, niche enough to win  |  1 = too small to matter or too broad to win</t>
        </is>
      </c>
    </row>
    <row r="10">
      <c r="A10" s="2" t="inlineStr">
        <is>
          <t>Acquirability (wt 14)</t>
        </is>
      </c>
      <c r="B10" s="2" t="inlineStr">
        <is>
          <t>5 = recurring revenue + high switching cost + owner-independent/transferable + clean asset; bonus if adjacent to a named acquirer whose minimums we can realistically meet (check the age/TTM reality flags in Acquirer-Intelligence.md) AND whose appetite for this exact asset class is evidenced by a specific portfolio company or deal (cite it — a famous buyer name without portfolio adjacency scores as no named buyer; classify thesis-buyer vs size-class buyer vs plan-of-record venue per the buyer-map note in Acquirer-Intelligence.md)  |  1 = one-off revenue, founder-dependent, no plausible buyer</t>
        </is>
      </c>
    </row>
    <row r="11">
      <c r="A11" s="2" t="inlineStr">
        <is>
          <t>Competitive Wedge (wt 10)</t>
        </is>
      </c>
      <c r="B11" s="2" t="inlineStr">
        <is>
          <t>5 = clear underserved gap + defensible angle in an un-crowded or genuinely differentiable space — CITED FROM AN S4 POSITIONING TEARDOWN, not vibes  |  1 = saturated, entrenched incumbents, no wedge</t>
        </is>
      </c>
    </row>
    <row r="12">
      <c r="A12" s="2" t="n"/>
      <c r="B12" s="2" t="n"/>
    </row>
    <row r="13">
      <c r="A13" s="2" t="inlineStr">
        <is>
          <t>Kill gates</t>
        </is>
      </c>
      <c r="B13" s="2" t="n"/>
    </row>
    <row r="14">
      <c r="A14" s="2" t="inlineStr">
        <is>
          <t>• No free ($0) path to buyers</t>
        </is>
      </c>
      <c r="B14" s="2" t="n"/>
    </row>
    <row r="15">
      <c r="A15" s="2" t="inlineStr">
        <is>
          <t>• Can't ship a usable v1 within one build week</t>
        </is>
      </c>
      <c r="B15" s="2" t="n"/>
    </row>
    <row r="16">
      <c r="A16" s="2" t="inlineStr">
        <is>
          <t>• Needs licensing/regulatory approval we can't obtain (or unacceptable legal risk)</t>
        </is>
      </c>
      <c r="B16" s="2" t="n"/>
    </row>
    <row r="17">
      <c r="A17" s="2" t="inlineStr">
        <is>
          <t>• Realistic build+launch cost exceeds the pooled &lt;$2k budget</t>
        </is>
      </c>
      <c r="B17" s="2" t="n"/>
    </row>
    <row r="18">
      <c r="A18" s="2" t="inlineStr">
        <is>
          <t>• Undifferentiated AI wrapper — no workflow ownership, data moat, or switching cost (acquirers treat these as invisible)</t>
        </is>
      </c>
      <c r="B18" s="2" t="n"/>
    </row>
    <row r="19">
      <c r="A19" s="2" t="inlineStr">
        <is>
          <t>• No viable payment mechanism — the chosen channel/product has no named way to charge money (e.g., agent skill stores have no payment rail; a skill-store-distributed candidate needs a named monetization mechanism to pass)</t>
        </is>
      </c>
      <c r="B19" s="2" t="n"/>
    </row>
    <row r="20">
      <c r="A20" s="2" t="inlineStr">
        <is>
          <t>• Structurally cannot clear a &gt;=50% gross margin at realistic pricing — COGS-heavy inference relative to the price the market bears (every unit of value = frontier tokens), pass-through-dominated economics, or a free-incumbent price ceiling. Judged from the pro-forma at the gate's fidelity level (see economics_ladder note); 50% is the floor, ~75-80% GM is the design target buyers actually price (Flippa GM&gt;75%)</t>
        </is>
      </c>
      <c r="B20" s="2" t="n"/>
    </row>
    <row r="21">
      <c r="A21" s="2" t="n"/>
      <c r="B21" s="2" t="n"/>
    </row>
    <row r="22">
      <c r="A22" s="2" t="inlineStr">
        <is>
          <t>Verdicts</t>
        </is>
      </c>
      <c r="B22" s="2" t="n"/>
    </row>
    <row r="23">
      <c r="A23" s="2" t="inlineStr">
        <is>
          <t>• strong: &gt;=75 and all gates pass -&gt; advance to S5 (a passing score is necessary, not sufficient)</t>
        </is>
      </c>
      <c r="B23" s="2" t="n"/>
    </row>
    <row r="24">
      <c r="A24" s="2" t="inlineStr">
        <is>
          <t>• conditional: 60-74 -&gt; pursue only if the pipeline is thin</t>
        </is>
      </c>
      <c r="B24" s="2" t="n"/>
    </row>
    <row r="25">
      <c r="A25" s="2" t="inlineStr">
        <is>
          <t>• kill: &lt;60</t>
        </is>
      </c>
      <c r="B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2026-07-28T20:28:16Z</dcterms:created>
  <dcterms:modified xmlns:dcterms="http://purl.org/dc/terms/" xmlns:xsi="http://www.w3.org/2001/XMLSchema-instance" xsi:type="dcterms:W3CDTF">2026-07-28T20:28:16Z</dcterms:modified>
</cp:coreProperties>
</file>